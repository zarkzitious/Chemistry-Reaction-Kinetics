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s" sheetId="1" r:id="rId5"/>
    <sheet state="visible" name="ln(Concentration) vs Time" sheetId="2" r:id="rId6"/>
    <sheet state="visible" name="(molL) vs. Time(min)" sheetId="3" r:id="rId7"/>
  </sheets>
  <definedNames/>
  <calcPr/>
</workbook>
</file>

<file path=xl/sharedStrings.xml><?xml version="1.0" encoding="utf-8"?>
<sst xmlns="http://schemas.openxmlformats.org/spreadsheetml/2006/main" count="10" uniqueCount="10">
  <si>
    <t>Time (min)</t>
  </si>
  <si>
    <t>Concentration (mol/L)</t>
  </si>
  <si>
    <t>1n(Concentration)</t>
  </si>
  <si>
    <t>Predicted Concentration</t>
  </si>
  <si>
    <t>Error Calc.</t>
  </si>
  <si>
    <t>Calc R^2</t>
  </si>
  <si>
    <t>Slope</t>
  </si>
  <si>
    <t xml:space="preserve">K Constant </t>
  </si>
  <si>
    <t>Intercept</t>
  </si>
  <si>
    <t xml:space="preserve">Predicted Concentration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</si>
</sst>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Graph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ph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ln(Concentration) vs.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y = -0.09888x - 0.0044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Graphs!$A$2:$A$12</c:f>
            </c:numRef>
          </c:xVal>
          <c:yVal>
            <c:numRef>
              <c:f>Graphs!$C$2:$C$12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561700"/>
        <c:axId val="983170355"/>
      </c:scatterChart>
      <c:valAx>
        <c:axId val="1029561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170355"/>
      </c:valAx>
      <c:valAx>
        <c:axId val="983170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ln(Concentration)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561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(mol/L) vs. Time (min)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Graphs!$B$1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Graphs!$A$2:$A$12</c:f>
            </c:numRef>
          </c:xVal>
          <c:yVal>
            <c:numRef>
              <c:f>Graphs!$B$2:$B$12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603777"/>
        <c:axId val="933956491"/>
      </c:scatterChart>
      <c:valAx>
        <c:axId val="16496037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956491"/>
      </c:valAx>
      <c:valAx>
        <c:axId val="933956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(mol/L)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603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Table1" name="Table1" id="1">
  <tableColumns count="5">
    <tableColumn name="Time (min)" id="1"/>
    <tableColumn name="Concentration (mol/L)" id="2"/>
    <tableColumn name="1n(Concentration)" id="3"/>
    <tableColumn name="Predicted Concentration" id="4"/>
    <tableColumn name="Error Calc." id="5"/>
  </tableColumns>
  <tableStyleInfo name="Graphs-style" showColumnStripes="0" showFirstColumn="1" showLastColumn="1" showRowStripes="1"/>
</table>
</file>

<file path=xl/tables/table2.xml><?xml version="1.0" encoding="utf-8"?>
<table xmlns="http://schemas.openxmlformats.org/spreadsheetml/2006/main" ref="G1:K2" displayName="Table_2" name="Table_2" id="2">
  <tableColumns count="5">
    <tableColumn name="Calc R^2" id="1"/>
    <tableColumn name="Slope" id="2"/>
    <tableColumn name="K Constant " id="3"/>
    <tableColumn name="Intercept" id="4"/>
    <tableColumn name="Predicted Concentration " id="5"/>
  </tableColumns>
  <tableStyleInfo name="Graph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2.0"/>
    <col customWidth="1" min="3" max="3" width="19.13"/>
    <col customWidth="1" min="4" max="4" width="23.75"/>
    <col customWidth="1" min="5" max="5" width="16.2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</row>
    <row r="2" ht="22.5" customHeight="1">
      <c r="A2" s="3">
        <v>0.0</v>
      </c>
      <c r="B2" s="3">
        <v>1.0</v>
      </c>
      <c r="C2" s="4">
        <f t="shared" ref="C2:C12" si="1">LN(B2)</f>
        <v>0</v>
      </c>
      <c r="D2" s="4">
        <f t="shared" ref="D2:D12" si="2">0.9956*EXP(-0.09888*A2)</f>
        <v>0.9956</v>
      </c>
      <c r="E2" s="4">
        <f t="shared" ref="E2:E12" si="3">B2-D2</f>
        <v>0.0044</v>
      </c>
      <c r="G2" s="4">
        <f>RSQ(C2:C12,A2:A12)</f>
        <v>0.9996705815</v>
      </c>
      <c r="H2" s="4">
        <f>SLOPE(C2:C12,A2:A12)</f>
        <v>-0.09888042613</v>
      </c>
      <c r="I2" s="4">
        <f>-(Table_2[Slope])</f>
        <v>0.09888042613</v>
      </c>
      <c r="J2" s="4">
        <f>INTERCEPT(C2:C12,A2:A12)</f>
        <v>-0.004402218493</v>
      </c>
      <c r="K2" s="4">
        <f>EXP(J2)</f>
        <v>0.9956074571</v>
      </c>
    </row>
    <row r="3" ht="22.5" customHeight="1">
      <c r="A3" s="3">
        <v>2.0</v>
      </c>
      <c r="B3" s="3">
        <v>0.813</v>
      </c>
      <c r="C3" s="4">
        <f t="shared" si="1"/>
        <v>-0.2070241694</v>
      </c>
      <c r="D3" s="4">
        <f t="shared" si="2"/>
        <v>0.8169562718</v>
      </c>
      <c r="E3" s="4">
        <f t="shared" si="3"/>
        <v>-0.003956271763</v>
      </c>
      <c r="G3" s="5"/>
    </row>
    <row r="4" ht="22.5" customHeight="1">
      <c r="A4" s="3">
        <v>4.0</v>
      </c>
      <c r="B4" s="3">
        <v>0.676</v>
      </c>
      <c r="C4" s="4">
        <f t="shared" si="1"/>
        <v>-0.3915622029</v>
      </c>
      <c r="D4" s="4">
        <f t="shared" si="2"/>
        <v>0.6703671655</v>
      </c>
      <c r="E4" s="4">
        <f t="shared" si="3"/>
        <v>0.005632834499</v>
      </c>
    </row>
    <row r="5" ht="22.5" customHeight="1">
      <c r="A5" s="3">
        <v>6.0</v>
      </c>
      <c r="B5" s="3">
        <v>0.541</v>
      </c>
      <c r="C5" s="4">
        <f t="shared" si="1"/>
        <v>-0.6143360001</v>
      </c>
      <c r="D5" s="4">
        <f t="shared" si="2"/>
        <v>0.5500810167</v>
      </c>
      <c r="E5" s="4">
        <f t="shared" si="3"/>
        <v>-0.009081016713</v>
      </c>
      <c r="G5" s="6"/>
    </row>
    <row r="6" ht="22.5" customHeight="1">
      <c r="A6" s="3">
        <v>8.0</v>
      </c>
      <c r="B6" s="3">
        <v>0.451</v>
      </c>
      <c r="C6" s="4">
        <f t="shared" si="1"/>
        <v>-0.7962879395</v>
      </c>
      <c r="D6" s="4">
        <f t="shared" si="2"/>
        <v>0.4513782007</v>
      </c>
      <c r="E6" s="4">
        <f t="shared" si="3"/>
        <v>-0.0003782006644</v>
      </c>
    </row>
    <row r="7" ht="22.5" customHeight="1">
      <c r="A7" s="3">
        <v>10.0</v>
      </c>
      <c r="B7" s="3">
        <v>0.373</v>
      </c>
      <c r="C7" s="4">
        <f t="shared" si="1"/>
        <v>-0.9861768593</v>
      </c>
      <c r="D7" s="4">
        <f t="shared" si="2"/>
        <v>0.3703859502</v>
      </c>
      <c r="E7" s="4">
        <f t="shared" si="3"/>
        <v>0.00261404985</v>
      </c>
    </row>
    <row r="8" ht="22.5" customHeight="1">
      <c r="A8" s="3">
        <v>12.0</v>
      </c>
      <c r="B8" s="3">
        <v>0.306</v>
      </c>
      <c r="C8" s="4">
        <f t="shared" si="1"/>
        <v>-1.184170177</v>
      </c>
      <c r="D8" s="4">
        <f t="shared" si="2"/>
        <v>0.3039264011</v>
      </c>
      <c r="E8" s="4">
        <f t="shared" si="3"/>
        <v>0.002073598887</v>
      </c>
    </row>
    <row r="9" ht="22.5" customHeight="1">
      <c r="A9" s="3">
        <v>14.0</v>
      </c>
      <c r="B9" s="3">
        <v>0.248</v>
      </c>
      <c r="C9" s="4">
        <f t="shared" si="1"/>
        <v>-1.394326533</v>
      </c>
      <c r="D9" s="4">
        <f t="shared" si="2"/>
        <v>0.2493919039</v>
      </c>
      <c r="E9" s="4">
        <f t="shared" si="3"/>
        <v>-0.001391903921</v>
      </c>
    </row>
    <row r="10" ht="22.5" customHeight="1">
      <c r="A10" s="3">
        <v>16.0</v>
      </c>
      <c r="B10" s="3">
        <v>0.208</v>
      </c>
      <c r="C10" s="4">
        <f t="shared" si="1"/>
        <v>-1.570217199</v>
      </c>
      <c r="D10" s="4">
        <f t="shared" si="2"/>
        <v>0.204642708</v>
      </c>
      <c r="E10" s="4">
        <f t="shared" si="3"/>
        <v>0.00335729205</v>
      </c>
    </row>
    <row r="11" ht="22.5" customHeight="1">
      <c r="A11" s="3">
        <v>18.0</v>
      </c>
      <c r="B11" s="3">
        <v>0.164</v>
      </c>
      <c r="C11" s="4">
        <f t="shared" si="1"/>
        <v>-1.807888851</v>
      </c>
      <c r="D11" s="4">
        <f t="shared" si="2"/>
        <v>0.167923005</v>
      </c>
      <c r="E11" s="4">
        <f t="shared" si="3"/>
        <v>-0.003923004952</v>
      </c>
    </row>
    <row r="12" ht="22.5" customHeight="1">
      <c r="A12" s="3">
        <v>20.0</v>
      </c>
      <c r="B12" s="3">
        <v>0.139</v>
      </c>
      <c r="C12" s="4">
        <f t="shared" si="1"/>
        <v>-1.973281346</v>
      </c>
      <c r="D12" s="4">
        <f t="shared" si="2"/>
        <v>0.137792037</v>
      </c>
      <c r="E12" s="4">
        <f t="shared" si="3"/>
        <v>0.001207962968</v>
      </c>
    </row>
    <row r="20">
      <c r="A20" s="7"/>
    </row>
  </sheetData>
  <drawing r:id="rId1"/>
  <tableParts count="2">
    <tablePart r:id="rId4"/>
    <tablePart r:id="rId5"/>
  </tableParts>
</worksheet>
</file>